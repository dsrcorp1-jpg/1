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월간단가입력" sheetId="1" state="visible" r:id="rId1"/>
    <sheet name="공급사오퍼비교" sheetId="2" state="visible" r:id="rId2"/>
    <sheet name="단가시뮬레이터" sheetId="3" state="visible" r:id="rId3"/>
    <sheet name="KPI요약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0"/>
    <numFmt numFmtId="165" formatCode="#,##0.0"/>
    <numFmt numFmtId="166" formatCode="+#,##0;-#,##0;&quot;-&quot;"/>
    <numFmt numFmtId="167" formatCode="0.0%;-0.0%;&quot;-&quot;"/>
    <numFmt numFmtId="168" formatCode="+#,##0;-#,##0;0"/>
  </numFmts>
  <fonts count="1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7F8C8D"/>
      <sz val="9"/>
    </font>
    <font>
      <name val="Arial"/>
      <b val="1"/>
      <color rgb="00FFFFFF"/>
      <sz val="9"/>
    </font>
    <font>
      <name val="Arial"/>
      <color rgb="000000FF"/>
      <sz val="10"/>
    </font>
    <font>
      <name val="Arial"/>
      <color rgb="00000000"/>
      <sz val="10"/>
    </font>
    <font>
      <name val="Arial"/>
      <b val="1"/>
      <color rgb="00FFFFFF"/>
      <sz val="15"/>
    </font>
    <font>
      <name val="Arial"/>
      <b val="1"/>
      <color rgb="001A3A5C"/>
      <sz val="10"/>
    </font>
    <font>
      <name val="Arial"/>
      <b val="1"/>
      <color rgb="00000000"/>
      <sz val="10"/>
    </font>
    <font>
      <name val="Arial"/>
      <b val="1"/>
      <color rgb="00FFFFFF"/>
      <sz val="14"/>
    </font>
    <font>
      <name val="Arial"/>
      <b val="1"/>
      <color rgb="001A3A5C"/>
      <sz val="11"/>
    </font>
    <font>
      <name val="Arial"/>
      <i val="1"/>
      <color rgb="007F8C8D"/>
      <sz val="9"/>
    </font>
    <font>
      <name val="Arial"/>
      <b val="1"/>
      <color rgb="007F8C8D"/>
      <sz val="9"/>
    </font>
    <font>
      <name val="Arial"/>
      <i val="1"/>
      <color rgb="007F8C8D"/>
      <sz val="8"/>
    </font>
    <font>
      <name val="Arial"/>
      <b val="1"/>
      <color rgb="002980B9"/>
      <sz val="18"/>
    </font>
    <font>
      <name val="Arial"/>
      <b val="1"/>
      <color rgb="00E67E22"/>
      <sz val="18"/>
    </font>
    <font>
      <name val="Arial"/>
      <b val="1"/>
      <color rgb="0027AE60"/>
      <sz val="18"/>
    </font>
    <font>
      <name val="Arial"/>
      <b val="1"/>
      <color rgb="00C0392B"/>
      <sz val="18"/>
    </font>
    <font>
      <name val="Arial"/>
      <b val="1"/>
      <color rgb="007F8C8D"/>
      <sz val="18"/>
    </font>
  </fonts>
  <fills count="1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AF3FB"/>
      </patternFill>
    </fill>
    <fill>
      <patternFill patternType="solid">
        <fgColor rgb="00FFFFFF"/>
      </patternFill>
    </fill>
    <fill>
      <patternFill patternType="solid">
        <fgColor rgb="002980B9"/>
      </patternFill>
    </fill>
    <fill>
      <patternFill patternType="solid">
        <fgColor rgb="00FEF5E7"/>
      </patternFill>
    </fill>
    <fill>
      <patternFill patternType="solid">
        <fgColor rgb="00F4F7FB"/>
      </patternFill>
    </fill>
    <fill>
      <patternFill patternType="solid">
        <fgColor rgb="00E67E22"/>
      </patternFill>
    </fill>
    <fill>
      <patternFill patternType="solid">
        <fgColor rgb="0027AE60"/>
      </patternFill>
    </fill>
    <fill>
      <patternFill patternType="solid">
        <fgColor rgb="00C0392B"/>
      </patternFill>
    </fill>
    <fill>
      <patternFill patternType="solid">
        <fgColor rgb="007F8C8D"/>
      </patternFill>
    </fill>
    <fill>
      <patternFill patternType="solid">
        <fgColor rgb="00EAFAF1"/>
      </patternFill>
    </fill>
    <fill>
      <patternFill patternType="solid">
        <fgColor rgb="00FFFFF0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D0DAE8"/>
      </left>
      <right style="thin">
        <color rgb="00D0DAE8"/>
      </right>
      <top style="thin">
        <color rgb="00D0DAE8"/>
      </top>
      <bottom style="thin">
        <color rgb="00D0DAE8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  <xf numFmtId="3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4" fillId="3" borderId="1" pivotButton="0" quotePrefix="0" xfId="0"/>
    <xf numFmtId="3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0" fontId="4" fillId="4" borderId="1" pivotButton="0" quotePrefix="0" xfId="0"/>
    <xf numFmtId="166" fontId="5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0" borderId="0" pivotButton="0" quotePrefix="0" xfId="0"/>
    <xf numFmtId="0" fontId="7" fillId="6" borderId="0" pivotButton="0" quotePrefix="0" xfId="0"/>
    <xf numFmtId="0" fontId="12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2" fontId="4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13" fillId="3" borderId="1" applyAlignment="1" pivotButton="0" quotePrefix="0" xfId="0">
      <alignment horizontal="left" vertical="center"/>
    </xf>
    <xf numFmtId="3" fontId="8" fillId="3" borderId="1" applyAlignment="1" pivotButton="0" quotePrefix="0" xfId="0">
      <alignment horizontal="center" vertical="center"/>
    </xf>
    <xf numFmtId="167" fontId="5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0" fontId="13" fillId="4" borderId="1" applyAlignment="1" pivotButton="0" quotePrefix="0" xfId="0">
      <alignment horizontal="left" vertical="center"/>
    </xf>
    <xf numFmtId="3" fontId="8" fillId="4" borderId="1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3" fontId="14" fillId="4" borderId="1" applyAlignment="1" pivotButton="0" quotePrefix="0" xfId="0">
      <alignment horizontal="center" vertical="center"/>
    </xf>
    <xf numFmtId="168" fontId="15" fillId="4" borderId="1" applyAlignment="1" pivotButton="0" quotePrefix="0" xfId="0">
      <alignment horizontal="center" vertical="center"/>
    </xf>
    <xf numFmtId="3" fontId="16" fillId="4" borderId="1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  <xf numFmtId="0" fontId="3" fillId="11" borderId="0" applyAlignment="1" pivotButton="0" quotePrefix="0" xfId="0">
      <alignment horizontal="center" vertical="center"/>
    </xf>
    <xf numFmtId="3" fontId="17" fillId="4" borderId="1" applyAlignment="1" pivotButton="0" quotePrefix="0" xfId="0">
      <alignment horizontal="center" vertical="center"/>
    </xf>
    <xf numFmtId="165" fontId="18" fillId="4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2" customWidth="1" min="9" max="9"/>
    <col width="12" customWidth="1" min="10" max="10"/>
    <col width="14" customWidth="1" min="11" max="11"/>
    <col width="15" customWidth="1" min="12" max="12"/>
    <col width="13" customWidth="1" min="13" max="13"/>
    <col width="22" customWidth="1" min="14" max="14"/>
  </cols>
  <sheetData>
    <row r="1" ht="38" customHeight="1">
      <c r="A1" s="1" t="inlineStr">
        <is>
          <t>PP / PE 레진 월간 단가 추적 시트</t>
        </is>
      </c>
    </row>
    <row r="2" ht="18" customHeight="1">
      <c r="A2" s="2" t="inlineStr">
        <is>
          <t>파란색(Blue) = 직접 입력  |  검은색(Black) = 자동 계산 수식  |  노란색 배경 = 주의 필요 항목</t>
        </is>
      </c>
    </row>
    <row r="3" ht="36" customHeight="1">
      <c r="A3" s="3" t="inlineStr">
        <is>
          <t>연도</t>
        </is>
      </c>
      <c r="B3" s="3" t="inlineStr">
        <is>
          <t>월</t>
        </is>
      </c>
      <c r="C3" s="3" t="inlineStr">
        <is>
          <t>PP Homo
(USD/MT)</t>
        </is>
      </c>
      <c r="D3" s="3" t="inlineStr">
        <is>
          <t>PP Copo
(USD/MT)</t>
        </is>
      </c>
      <c r="E3" s="3" t="inlineStr">
        <is>
          <t>HDPE
(USD/MT)</t>
        </is>
      </c>
      <c r="F3" s="3" t="inlineStr">
        <is>
          <t>LDPE
(USD/MT)</t>
        </is>
      </c>
      <c r="G3" s="3" t="inlineStr">
        <is>
          <t>LLDPE
(USD/MT)</t>
        </is>
      </c>
      <c r="H3" s="3" t="inlineStr">
        <is>
          <t>나프타
(USD/MT)</t>
        </is>
      </c>
      <c r="I3" s="3" t="inlineStr">
        <is>
          <t>Brent
(USD/bbl)</t>
        </is>
      </c>
      <c r="J3" s="3" t="inlineStr">
        <is>
          <t>USD/KRW
(원)</t>
        </is>
      </c>
      <c r="K3" s="3" t="inlineStr">
        <is>
          <t>PP-나프타
스프레드</t>
        </is>
      </c>
      <c r="L3" s="3" t="inlineStr">
        <is>
          <t>PP Homo
(원/MT)</t>
        </is>
      </c>
      <c r="M3" s="3" t="inlineStr">
        <is>
          <t>전월대비
PP변동</t>
        </is>
      </c>
      <c r="N3" s="3" t="inlineStr">
        <is>
          <t>비고</t>
        </is>
      </c>
    </row>
    <row r="4" ht="20" customHeight="1">
      <c r="A4" s="4" t="n">
        <v>2024</v>
      </c>
      <c r="B4" s="5" t="n">
        <v>1</v>
      </c>
      <c r="C4" s="4" t="n">
        <v>990</v>
      </c>
      <c r="D4" s="4" t="n">
        <v>1050</v>
      </c>
      <c r="E4" s="4" t="n">
        <v>955</v>
      </c>
      <c r="F4" s="4" t="n">
        <v>1035</v>
      </c>
      <c r="G4" s="4" t="n">
        <v>930</v>
      </c>
      <c r="H4" s="4" t="n">
        <v>645</v>
      </c>
      <c r="I4" s="6" t="n">
        <v>78</v>
      </c>
      <c r="J4" s="4" t="n">
        <v>1320</v>
      </c>
      <c r="K4" s="7">
        <f>C4-H4</f>
        <v/>
      </c>
      <c r="L4" s="7">
        <f>C4*J4</f>
        <v/>
      </c>
      <c r="M4" s="8" t="inlineStr">
        <is>
          <t>-</t>
        </is>
      </c>
      <c r="N4" s="9" t="inlineStr"/>
    </row>
    <row r="5" ht="20" customHeight="1">
      <c r="A5" s="10" t="n">
        <v>2024</v>
      </c>
      <c r="B5" s="11" t="n">
        <v>2</v>
      </c>
      <c r="C5" s="10" t="n">
        <v>1010</v>
      </c>
      <c r="D5" s="10" t="n">
        <v>1070</v>
      </c>
      <c r="E5" s="10" t="n">
        <v>975</v>
      </c>
      <c r="F5" s="10" t="n">
        <v>1055</v>
      </c>
      <c r="G5" s="10" t="n">
        <v>950</v>
      </c>
      <c r="H5" s="10" t="n">
        <v>660</v>
      </c>
      <c r="I5" s="12" t="n">
        <v>80</v>
      </c>
      <c r="J5" s="10" t="n">
        <v>1330</v>
      </c>
      <c r="K5" s="13">
        <f>C5-H5</f>
        <v/>
      </c>
      <c r="L5" s="13">
        <f>C5*J5</f>
        <v/>
      </c>
      <c r="M5" s="14">
        <f>C5-C4</f>
        <v/>
      </c>
      <c r="N5" s="15" t="inlineStr"/>
    </row>
    <row r="6" ht="20" customHeight="1">
      <c r="A6" s="4" t="n">
        <v>2024</v>
      </c>
      <c r="B6" s="5" t="n">
        <v>3</v>
      </c>
      <c r="C6" s="4" t="n">
        <v>1020</v>
      </c>
      <c r="D6" s="4" t="n">
        <v>1080</v>
      </c>
      <c r="E6" s="4" t="n">
        <v>985</v>
      </c>
      <c r="F6" s="4" t="n">
        <v>1065</v>
      </c>
      <c r="G6" s="4" t="n">
        <v>960</v>
      </c>
      <c r="H6" s="4" t="n">
        <v>670</v>
      </c>
      <c r="I6" s="6" t="n">
        <v>83</v>
      </c>
      <c r="J6" s="4" t="n">
        <v>1340</v>
      </c>
      <c r="K6" s="7">
        <f>C6-H6</f>
        <v/>
      </c>
      <c r="L6" s="7">
        <f>C6*J6</f>
        <v/>
      </c>
      <c r="M6" s="16">
        <f>C6-C5</f>
        <v/>
      </c>
      <c r="N6" s="9" t="inlineStr"/>
    </row>
    <row r="7" ht="20" customHeight="1">
      <c r="A7" s="10" t="n">
        <v>2024</v>
      </c>
      <c r="B7" s="11" t="n">
        <v>4</v>
      </c>
      <c r="C7" s="10" t="n">
        <v>1040</v>
      </c>
      <c r="D7" s="10" t="n">
        <v>1100</v>
      </c>
      <c r="E7" s="10" t="n">
        <v>1005</v>
      </c>
      <c r="F7" s="10" t="n">
        <v>1085</v>
      </c>
      <c r="G7" s="10" t="n">
        <v>980</v>
      </c>
      <c r="H7" s="10" t="n">
        <v>685</v>
      </c>
      <c r="I7" s="12" t="n">
        <v>88</v>
      </c>
      <c r="J7" s="10" t="n">
        <v>1365</v>
      </c>
      <c r="K7" s="13">
        <f>C7-H7</f>
        <v/>
      </c>
      <c r="L7" s="13">
        <f>C7*J7</f>
        <v/>
      </c>
      <c r="M7" s="14">
        <f>C7-C6</f>
        <v/>
      </c>
      <c r="N7" s="15" t="inlineStr"/>
    </row>
    <row r="8" ht="20" customHeight="1">
      <c r="A8" s="4" t="n">
        <v>2024</v>
      </c>
      <c r="B8" s="5" t="n">
        <v>5</v>
      </c>
      <c r="C8" s="4" t="n">
        <v>1040</v>
      </c>
      <c r="D8" s="4" t="n">
        <v>1100</v>
      </c>
      <c r="E8" s="4" t="n">
        <v>1005</v>
      </c>
      <c r="F8" s="4" t="n">
        <v>1085</v>
      </c>
      <c r="G8" s="4" t="n">
        <v>980</v>
      </c>
      <c r="H8" s="4" t="n">
        <v>685</v>
      </c>
      <c r="I8" s="6" t="n">
        <v>86</v>
      </c>
      <c r="J8" s="4" t="n">
        <v>1365</v>
      </c>
      <c r="K8" s="7">
        <f>C8-H8</f>
        <v/>
      </c>
      <c r="L8" s="7">
        <f>C8*J8</f>
        <v/>
      </c>
      <c r="M8" s="16">
        <f>C8-C7</f>
        <v/>
      </c>
      <c r="N8" s="9" t="inlineStr"/>
    </row>
    <row r="9" ht="20" customHeight="1">
      <c r="A9" s="10" t="n">
        <v>2024</v>
      </c>
      <c r="B9" s="11" t="n">
        <v>6</v>
      </c>
      <c r="C9" s="10" t="n">
        <v>1020</v>
      </c>
      <c r="D9" s="10" t="n">
        <v>1080</v>
      </c>
      <c r="E9" s="10" t="n">
        <v>988</v>
      </c>
      <c r="F9" s="10" t="n">
        <v>1068</v>
      </c>
      <c r="G9" s="10" t="n">
        <v>963</v>
      </c>
      <c r="H9" s="10" t="n">
        <v>665</v>
      </c>
      <c r="I9" s="12" t="n">
        <v>84</v>
      </c>
      <c r="J9" s="10" t="n">
        <v>1370</v>
      </c>
      <c r="K9" s="13">
        <f>C9-H9</f>
        <v/>
      </c>
      <c r="L9" s="13">
        <f>C9*J9</f>
        <v/>
      </c>
      <c r="M9" s="14">
        <f>C9-C8</f>
        <v/>
      </c>
      <c r="N9" s="15" t="inlineStr"/>
    </row>
    <row r="10" ht="20" customHeight="1">
      <c r="A10" s="4" t="n">
        <v>2024</v>
      </c>
      <c r="B10" s="5" t="n">
        <v>7</v>
      </c>
      <c r="C10" s="4" t="n">
        <v>1020</v>
      </c>
      <c r="D10" s="4" t="n">
        <v>1080</v>
      </c>
      <c r="E10" s="4" t="n">
        <v>988</v>
      </c>
      <c r="F10" s="4" t="n">
        <v>1068</v>
      </c>
      <c r="G10" s="4" t="n">
        <v>963</v>
      </c>
      <c r="H10" s="4" t="n">
        <v>665</v>
      </c>
      <c r="I10" s="6" t="n">
        <v>82</v>
      </c>
      <c r="J10" s="4" t="n">
        <v>1375</v>
      </c>
      <c r="K10" s="7">
        <f>C10-H10</f>
        <v/>
      </c>
      <c r="L10" s="7">
        <f>C10*J10</f>
        <v/>
      </c>
      <c r="M10" s="16">
        <f>C10-C9</f>
        <v/>
      </c>
      <c r="N10" s="9" t="inlineStr"/>
    </row>
    <row r="11" ht="20" customHeight="1">
      <c r="A11" s="10" t="n">
        <v>2024</v>
      </c>
      <c r="B11" s="11" t="n">
        <v>8</v>
      </c>
      <c r="C11" s="10" t="n">
        <v>970</v>
      </c>
      <c r="D11" s="10" t="n">
        <v>1030</v>
      </c>
      <c r="E11" s="10" t="n">
        <v>940</v>
      </c>
      <c r="F11" s="10" t="n">
        <v>1020</v>
      </c>
      <c r="G11" s="10" t="n">
        <v>915</v>
      </c>
      <c r="H11" s="10" t="n">
        <v>620</v>
      </c>
      <c r="I11" s="12" t="n">
        <v>76</v>
      </c>
      <c r="J11" s="10" t="n">
        <v>1330</v>
      </c>
      <c r="K11" s="13">
        <f>C11-H11</f>
        <v/>
      </c>
      <c r="L11" s="13">
        <f>C11*J11</f>
        <v/>
      </c>
      <c r="M11" s="14">
        <f>C11-C10</f>
        <v/>
      </c>
      <c r="N11" s="15" t="inlineStr"/>
    </row>
    <row r="12" ht="20" customHeight="1">
      <c r="A12" s="4" t="n">
        <v>2024</v>
      </c>
      <c r="B12" s="5" t="n">
        <v>9</v>
      </c>
      <c r="C12" s="4" t="n">
        <v>970</v>
      </c>
      <c r="D12" s="4" t="n">
        <v>1030</v>
      </c>
      <c r="E12" s="4" t="n">
        <v>940</v>
      </c>
      <c r="F12" s="4" t="n">
        <v>1020</v>
      </c>
      <c r="G12" s="4" t="n">
        <v>915</v>
      </c>
      <c r="H12" s="4" t="n">
        <v>620</v>
      </c>
      <c r="I12" s="6" t="n">
        <v>74</v>
      </c>
      <c r="J12" s="4" t="n">
        <v>1330</v>
      </c>
      <c r="K12" s="7">
        <f>C12-H12</f>
        <v/>
      </c>
      <c r="L12" s="7">
        <f>C12*J12</f>
        <v/>
      </c>
      <c r="M12" s="16">
        <f>C12-C11</f>
        <v/>
      </c>
      <c r="N12" s="9" t="inlineStr"/>
    </row>
    <row r="13" ht="20" customHeight="1">
      <c r="A13" s="10" t="n">
        <v>2024</v>
      </c>
      <c r="B13" s="11" t="n">
        <v>10</v>
      </c>
      <c r="C13" s="10" t="n">
        <v>950</v>
      </c>
      <c r="D13" s="10" t="n">
        <v>1010</v>
      </c>
      <c r="E13" s="10" t="n">
        <v>920</v>
      </c>
      <c r="F13" s="10" t="n">
        <v>1000</v>
      </c>
      <c r="G13" s="10" t="n">
        <v>895</v>
      </c>
      <c r="H13" s="10" t="n">
        <v>600</v>
      </c>
      <c r="I13" s="12" t="n">
        <v>72</v>
      </c>
      <c r="J13" s="10" t="n">
        <v>1355</v>
      </c>
      <c r="K13" s="13">
        <f>C13-H13</f>
        <v/>
      </c>
      <c r="L13" s="13">
        <f>C13*J13</f>
        <v/>
      </c>
      <c r="M13" s="14">
        <f>C13-C12</f>
        <v/>
      </c>
      <c r="N13" s="15" t="inlineStr"/>
    </row>
    <row r="14" ht="20" customHeight="1">
      <c r="A14" s="4" t="n">
        <v>2024</v>
      </c>
      <c r="B14" s="5" t="n">
        <v>11</v>
      </c>
      <c r="C14" s="4" t="n">
        <v>950</v>
      </c>
      <c r="D14" s="4" t="n">
        <v>1010</v>
      </c>
      <c r="E14" s="4" t="n">
        <v>920</v>
      </c>
      <c r="F14" s="4" t="n">
        <v>1000</v>
      </c>
      <c r="G14" s="4" t="n">
        <v>895</v>
      </c>
      <c r="H14" s="4" t="n">
        <v>600</v>
      </c>
      <c r="I14" s="6" t="n">
        <v>72</v>
      </c>
      <c r="J14" s="4" t="n">
        <v>1355</v>
      </c>
      <c r="K14" s="7">
        <f>C14-H14</f>
        <v/>
      </c>
      <c r="L14" s="7">
        <f>C14*J14</f>
        <v/>
      </c>
      <c r="M14" s="16">
        <f>C14-C13</f>
        <v/>
      </c>
      <c r="N14" s="9" t="inlineStr"/>
    </row>
    <row r="15" ht="20" customHeight="1">
      <c r="A15" s="10" t="n">
        <v>2024</v>
      </c>
      <c r="B15" s="11" t="n">
        <v>12</v>
      </c>
      <c r="C15" s="10" t="n">
        <v>960</v>
      </c>
      <c r="D15" s="10" t="n">
        <v>1020</v>
      </c>
      <c r="E15" s="10" t="n">
        <v>930</v>
      </c>
      <c r="F15" s="10" t="n">
        <v>1010</v>
      </c>
      <c r="G15" s="10" t="n">
        <v>905</v>
      </c>
      <c r="H15" s="10" t="n">
        <v>610</v>
      </c>
      <c r="I15" s="12" t="n">
        <v>73</v>
      </c>
      <c r="J15" s="10" t="n">
        <v>1360</v>
      </c>
      <c r="K15" s="13">
        <f>C15-H15</f>
        <v/>
      </c>
      <c r="L15" s="13">
        <f>C15*J15</f>
        <v/>
      </c>
      <c r="M15" s="14">
        <f>C15-C14</f>
        <v/>
      </c>
      <c r="N15" s="15" t="inlineStr"/>
    </row>
    <row r="16" ht="20" customHeight="1">
      <c r="A16" s="4" t="n">
        <v>2025</v>
      </c>
      <c r="B16" s="5" t="n">
        <v>1</v>
      </c>
      <c r="C16" s="4" t="n">
        <v>980</v>
      </c>
      <c r="D16" s="4" t="n">
        <v>1040</v>
      </c>
      <c r="E16" s="4" t="n">
        <v>950</v>
      </c>
      <c r="F16" s="4" t="n">
        <v>1030</v>
      </c>
      <c r="G16" s="4" t="n">
        <v>930</v>
      </c>
      <c r="H16" s="4" t="n">
        <v>630</v>
      </c>
      <c r="I16" s="6" t="n">
        <v>76</v>
      </c>
      <c r="J16" s="4" t="n">
        <v>1430</v>
      </c>
      <c r="K16" s="7">
        <f>C16-H16</f>
        <v/>
      </c>
      <c r="L16" s="7">
        <f>C16*J16</f>
        <v/>
      </c>
      <c r="M16" s="16">
        <f>C16-C15</f>
        <v/>
      </c>
      <c r="N16" s="9" t="inlineStr"/>
    </row>
    <row r="17" ht="20" customHeight="1">
      <c r="A17" s="10" t="n">
        <v>2025</v>
      </c>
      <c r="B17" s="11" t="n">
        <v>2</v>
      </c>
      <c r="C17" s="10" t="n">
        <v>960</v>
      </c>
      <c r="D17" s="10" t="n">
        <v>1020</v>
      </c>
      <c r="E17" s="10" t="n">
        <v>930</v>
      </c>
      <c r="F17" s="10" t="n">
        <v>1010</v>
      </c>
      <c r="G17" s="10" t="n">
        <v>910</v>
      </c>
      <c r="H17" s="10" t="n">
        <v>610</v>
      </c>
      <c r="I17" s="12" t="n">
        <v>72</v>
      </c>
      <c r="J17" s="10" t="n">
        <v>1460</v>
      </c>
      <c r="K17" s="13">
        <f>C17-H17</f>
        <v/>
      </c>
      <c r="L17" s="13">
        <f>C17*J17</f>
        <v/>
      </c>
      <c r="M17" s="14">
        <f>C17-C16</f>
        <v/>
      </c>
      <c r="N17" s="15" t="inlineStr"/>
    </row>
    <row r="18" ht="20" customHeight="1">
      <c r="A18" s="4" t="n">
        <v>2025</v>
      </c>
      <c r="B18" s="5" t="n">
        <v>3</v>
      </c>
      <c r="C18" s="4" t="n">
        <v>960</v>
      </c>
      <c r="D18" s="4" t="n">
        <v>1020</v>
      </c>
      <c r="E18" s="4" t="n">
        <v>930</v>
      </c>
      <c r="F18" s="4" t="n">
        <v>1010</v>
      </c>
      <c r="G18" s="4" t="n">
        <v>910</v>
      </c>
      <c r="H18" s="4" t="n">
        <v>610</v>
      </c>
      <c r="I18" s="6" t="n">
        <v>68</v>
      </c>
      <c r="J18" s="4" t="n">
        <v>1460</v>
      </c>
      <c r="K18" s="7">
        <f>C18-H18</f>
        <v/>
      </c>
      <c r="L18" s="7">
        <f>C18*J18</f>
        <v/>
      </c>
      <c r="M18" s="16">
        <f>C18-C17</f>
        <v/>
      </c>
      <c r="N18" s="9" t="inlineStr"/>
    </row>
    <row r="19" ht="20" customHeight="1">
      <c r="A19" s="10" t="n">
        <v>2025</v>
      </c>
      <c r="B19" s="11" t="n">
        <v>4</v>
      </c>
      <c r="C19" s="10" t="n">
        <v>970</v>
      </c>
      <c r="D19" s="10" t="n">
        <v>1030</v>
      </c>
      <c r="E19" s="10" t="n">
        <v>940</v>
      </c>
      <c r="F19" s="10" t="n">
        <v>1020</v>
      </c>
      <c r="G19" s="10" t="n">
        <v>920</v>
      </c>
      <c r="H19" s="10" t="n">
        <v>615</v>
      </c>
      <c r="I19" s="12" t="n">
        <v>69</v>
      </c>
      <c r="J19" s="10" t="n">
        <v>1450</v>
      </c>
      <c r="K19" s="13">
        <f>C19-H19</f>
        <v/>
      </c>
      <c r="L19" s="13">
        <f>C19*J19</f>
        <v/>
      </c>
      <c r="M19" s="14">
        <f>C19-C18</f>
        <v/>
      </c>
      <c r="N19" s="15" t="inlineStr"/>
    </row>
    <row r="20" ht="20" customHeight="1">
      <c r="A20" s="4" t="n">
        <v>2025</v>
      </c>
      <c r="B20" s="5" t="n">
        <v>5</v>
      </c>
      <c r="C20" s="4" t="n">
        <v>1000</v>
      </c>
      <c r="D20" s="4" t="n">
        <v>1060</v>
      </c>
      <c r="E20" s="4" t="n">
        <v>970</v>
      </c>
      <c r="F20" s="4" t="n">
        <v>1050</v>
      </c>
      <c r="G20" s="4" t="n">
        <v>950</v>
      </c>
      <c r="H20" s="4" t="n">
        <v>620</v>
      </c>
      <c r="I20" s="6" t="n">
        <v>67</v>
      </c>
      <c r="J20" s="4" t="n">
        <v>1420</v>
      </c>
      <c r="K20" s="7">
        <f>C20-H20</f>
        <v/>
      </c>
      <c r="L20" s="7">
        <f>C20*J20</f>
        <v/>
      </c>
      <c r="M20" s="16">
        <f>C20-C19</f>
        <v/>
      </c>
      <c r="N20" s="9" t="inlineStr"/>
    </row>
    <row r="21" ht="20" customHeight="1">
      <c r="A21" s="10" t="n">
        <v>2025</v>
      </c>
      <c r="B21" s="11" t="n">
        <v>6</v>
      </c>
      <c r="C21" s="10" t="n">
        <v>1010</v>
      </c>
      <c r="D21" s="10" t="n">
        <v>1070</v>
      </c>
      <c r="E21" s="10" t="n">
        <v>990</v>
      </c>
      <c r="F21" s="10" t="n">
        <v>1060</v>
      </c>
      <c r="G21" s="10" t="n">
        <v>970</v>
      </c>
      <c r="H21" s="10" t="n">
        <v>630</v>
      </c>
      <c r="I21" s="12" t="n">
        <v>74</v>
      </c>
      <c r="J21" s="10" t="n">
        <v>1380</v>
      </c>
      <c r="K21" s="13">
        <f>C21-H21</f>
        <v/>
      </c>
      <c r="L21" s="13">
        <f>C21*J21</f>
        <v/>
      </c>
      <c r="M21" s="14">
        <f>C21-C20</f>
        <v/>
      </c>
      <c r="N21" s="15" t="inlineStr"/>
    </row>
    <row r="22" ht="22" customHeight="1">
      <c r="A22" s="8" t="inlineStr"/>
      <c r="B22" s="8" t="inlineStr"/>
      <c r="C22" s="17" t="inlineStr"/>
      <c r="D22" s="17" t="inlineStr"/>
      <c r="E22" s="17" t="inlineStr"/>
      <c r="F22" s="17" t="inlineStr"/>
      <c r="G22" s="17" t="inlineStr"/>
      <c r="H22" s="17" t="inlineStr"/>
      <c r="I22" s="17" t="inlineStr"/>
      <c r="J22" s="17" t="inlineStr"/>
      <c r="K22" s="7">
        <f>IF(C22="","",C22-H22)</f>
        <v/>
      </c>
      <c r="L22" s="7">
        <f>IF(C22="","",C22*J22)</f>
        <v/>
      </c>
      <c r="M22" s="8" t="inlineStr"/>
      <c r="N22" s="8" t="inlineStr"/>
    </row>
    <row r="23" ht="22" customHeight="1">
      <c r="A23" s="8" t="inlineStr"/>
      <c r="B23" s="8" t="inlineStr"/>
      <c r="C23" s="17" t="inlineStr"/>
      <c r="D23" s="17" t="inlineStr"/>
      <c r="E23" s="17" t="inlineStr"/>
      <c r="F23" s="17" t="inlineStr"/>
      <c r="G23" s="17" t="inlineStr"/>
      <c r="H23" s="17" t="inlineStr"/>
      <c r="I23" s="17" t="inlineStr"/>
      <c r="J23" s="17" t="inlineStr"/>
      <c r="K23" s="7">
        <f>IF(C23="","",C23-H23)</f>
        <v/>
      </c>
      <c r="L23" s="7">
        <f>IF(C23="","",C23*J23)</f>
        <v/>
      </c>
      <c r="M23" s="16">
        <f>IF(C23="","",C23-C22)</f>
        <v/>
      </c>
      <c r="N23" s="8" t="inlineStr"/>
    </row>
    <row r="24" ht="22" customHeight="1">
      <c r="A24" s="8" t="inlineStr"/>
      <c r="B24" s="8" t="inlineStr"/>
      <c r="C24" s="17" t="inlineStr"/>
      <c r="D24" s="17" t="inlineStr"/>
      <c r="E24" s="17" t="inlineStr"/>
      <c r="F24" s="17" t="inlineStr"/>
      <c r="G24" s="17" t="inlineStr"/>
      <c r="H24" s="17" t="inlineStr"/>
      <c r="I24" s="17" t="inlineStr"/>
      <c r="J24" s="17" t="inlineStr"/>
      <c r="K24" s="7">
        <f>IF(C24="","",C24-H24)</f>
        <v/>
      </c>
      <c r="L24" s="7">
        <f>IF(C24="","",C24*J24)</f>
        <v/>
      </c>
      <c r="M24" s="16">
        <f>IF(C24="","",C24-C23)</f>
        <v/>
      </c>
      <c r="N24" s="8" t="inlineStr"/>
    </row>
    <row r="25" ht="22" customHeight="1">
      <c r="A25" s="8" t="inlineStr"/>
      <c r="B25" s="8" t="inlineStr"/>
      <c r="C25" s="17" t="inlineStr"/>
      <c r="D25" s="17" t="inlineStr"/>
      <c r="E25" s="17" t="inlineStr"/>
      <c r="F25" s="17" t="inlineStr"/>
      <c r="G25" s="17" t="inlineStr"/>
      <c r="H25" s="17" t="inlineStr"/>
      <c r="I25" s="17" t="inlineStr"/>
      <c r="J25" s="17" t="inlineStr"/>
      <c r="K25" s="7">
        <f>IF(C25="","",C25-H25)</f>
        <v/>
      </c>
      <c r="L25" s="7">
        <f>IF(C25="","",C25*J25)</f>
        <v/>
      </c>
      <c r="M25" s="16">
        <f>IF(C25="","",C25-C24)</f>
        <v/>
      </c>
      <c r="N25" s="8" t="inlineStr"/>
    </row>
    <row r="26" ht="22" customHeight="1">
      <c r="A26" s="8" t="inlineStr"/>
      <c r="B26" s="8" t="inlineStr"/>
      <c r="C26" s="17" t="inlineStr"/>
      <c r="D26" s="17" t="inlineStr"/>
      <c r="E26" s="17" t="inlineStr"/>
      <c r="F26" s="17" t="inlineStr"/>
      <c r="G26" s="17" t="inlineStr"/>
      <c r="H26" s="17" t="inlineStr"/>
      <c r="I26" s="17" t="inlineStr"/>
      <c r="J26" s="17" t="inlineStr"/>
      <c r="K26" s="7">
        <f>IF(C26="","",C26-H26)</f>
        <v/>
      </c>
      <c r="L26" s="7">
        <f>IF(C26="","",C26*J26)</f>
        <v/>
      </c>
      <c r="M26" s="16">
        <f>IF(C26="","",C26-C25)</f>
        <v/>
      </c>
      <c r="N26" s="8" t="inlineStr"/>
    </row>
    <row r="27" ht="22" customHeight="1">
      <c r="A27" s="8" t="inlineStr"/>
      <c r="B27" s="8" t="inlineStr"/>
      <c r="C27" s="17" t="inlineStr"/>
      <c r="D27" s="17" t="inlineStr"/>
      <c r="E27" s="17" t="inlineStr"/>
      <c r="F27" s="17" t="inlineStr"/>
      <c r="G27" s="17" t="inlineStr"/>
      <c r="H27" s="17" t="inlineStr"/>
      <c r="I27" s="17" t="inlineStr"/>
      <c r="J27" s="17" t="inlineStr"/>
      <c r="K27" s="7">
        <f>IF(C27="","",C27-H27)</f>
        <v/>
      </c>
      <c r="L27" s="7">
        <f>IF(C27="","",C27*J27)</f>
        <v/>
      </c>
      <c r="M27" s="16">
        <f>IF(C27="","",C27-C26)</f>
        <v/>
      </c>
      <c r="N27" s="8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0" customWidth="1" min="10" max="10"/>
    <col width="10" customWidth="1" min="11" max="11"/>
    <col width="10" customWidth="1" min="12" max="12"/>
  </cols>
  <sheetData>
    <row r="1" ht="36" customHeight="1">
      <c r="A1" s="18" t="inlineStr">
        <is>
          <t>공급사별 오퍼 비교표</t>
        </is>
      </c>
    </row>
    <row r="2">
      <c r="A2" s="2" t="inlineStr">
        <is>
          <t>ICIS 기준가 대비 프리미엄/디스카운트 자동 계산  |  파란색 셀에 오퍼가 입력</t>
        </is>
      </c>
    </row>
    <row r="3">
      <c r="A3" s="19" t="inlineStr">
        <is>
          <t>ICIS 기준가 (USD/MT)</t>
        </is>
      </c>
      <c r="C3" s="20" t="inlineStr">
        <is>
          <t>PP Homo</t>
        </is>
      </c>
      <c r="D3" s="20" t="inlineStr">
        <is>
          <t>PP Copo</t>
        </is>
      </c>
      <c r="E3" s="20" t="inlineStr">
        <is>
          <t>HDPE</t>
        </is>
      </c>
      <c r="F3" s="20" t="inlineStr">
        <is>
          <t>LDPE</t>
        </is>
      </c>
      <c r="G3" s="20" t="inlineStr">
        <is>
          <t>LLDPE</t>
        </is>
      </c>
    </row>
    <row r="4">
      <c r="C4" s="4" t="n">
        <v>1010</v>
      </c>
      <c r="D4" s="4" t="n">
        <v>1070</v>
      </c>
      <c r="E4" s="4" t="n">
        <v>990</v>
      </c>
      <c r="F4" s="4" t="n">
        <v>1060</v>
      </c>
      <c r="G4" s="4" t="n">
        <v>970</v>
      </c>
    </row>
    <row r="5" ht="36" customHeight="1">
      <c r="A5" s="3" t="inlineStr">
        <is>
          <t>공급사</t>
        </is>
      </c>
      <c r="B5" s="3" t="inlineStr">
        <is>
          <t>원산지</t>
        </is>
      </c>
      <c r="C5" s="3" t="inlineStr">
        <is>
          <t>PP Homo
오퍼</t>
        </is>
      </c>
      <c r="D5" s="3" t="inlineStr">
        <is>
          <t>PP Copo
오퍼</t>
        </is>
      </c>
      <c r="E5" s="3" t="inlineStr">
        <is>
          <t>HDPE
오퍼</t>
        </is>
      </c>
      <c r="F5" s="3" t="inlineStr">
        <is>
          <t>LDPE
오퍼</t>
        </is>
      </c>
      <c r="G5" s="3" t="inlineStr">
        <is>
          <t>LLDPE
오퍼</t>
        </is>
      </c>
      <c r="H5" s="3" t="inlineStr">
        <is>
          <t>PP 프리미엄
(vs ICIS)</t>
        </is>
      </c>
      <c r="I5" s="3" t="inlineStr">
        <is>
          <t>결제조건</t>
        </is>
      </c>
      <c r="J5" s="3" t="inlineStr">
        <is>
          <t>리드타임</t>
        </is>
      </c>
      <c r="K5" s="3" t="inlineStr">
        <is>
          <t>MOQ(MT)</t>
        </is>
      </c>
      <c r="L5" s="3" t="inlineStr">
        <is>
          <t>추천</t>
        </is>
      </c>
    </row>
    <row r="6" ht="20" customHeight="1">
      <c r="A6" s="21" t="inlineStr">
        <is>
          <t>LG화학</t>
        </is>
      </c>
      <c r="B6" s="8" t="inlineStr">
        <is>
          <t>한국</t>
        </is>
      </c>
      <c r="C6" s="4" t="n">
        <v>1015</v>
      </c>
      <c r="D6" s="4" t="n">
        <v>1075</v>
      </c>
      <c r="E6" s="4" t="n">
        <v>993</v>
      </c>
      <c r="F6" s="4" t="n">
        <v>1063</v>
      </c>
      <c r="G6" s="4" t="n">
        <v>973</v>
      </c>
      <c r="H6" s="16">
        <f>C6-C4</f>
        <v/>
      </c>
      <c r="I6" s="8" t="inlineStr">
        <is>
          <t>T/T 30일</t>
        </is>
      </c>
      <c r="J6" s="8" t="inlineStr">
        <is>
          <t>2주</t>
        </is>
      </c>
      <c r="K6" s="7" t="n">
        <v>20</v>
      </c>
      <c r="L6" s="8">
        <f>IF(H6&lt;=0,"★ 추천",IF(H6&lt;=20,"검토","-"))</f>
        <v/>
      </c>
    </row>
    <row r="7" ht="20" customHeight="1">
      <c r="A7" s="22" t="inlineStr">
        <is>
          <t>롯데케미칼</t>
        </is>
      </c>
      <c r="B7" s="23" t="inlineStr">
        <is>
          <t>한국</t>
        </is>
      </c>
      <c r="C7" s="10" t="n">
        <v>1008</v>
      </c>
      <c r="D7" s="10" t="n">
        <v>1068</v>
      </c>
      <c r="E7" s="10" t="n">
        <v>988</v>
      </c>
      <c r="F7" s="10" t="n">
        <v>1058</v>
      </c>
      <c r="G7" s="10" t="n">
        <v>968</v>
      </c>
      <c r="H7" s="14">
        <f>C7-C4</f>
        <v/>
      </c>
      <c r="I7" s="23" t="inlineStr">
        <is>
          <t>T/T 30일</t>
        </is>
      </c>
      <c r="J7" s="23" t="inlineStr">
        <is>
          <t>2주</t>
        </is>
      </c>
      <c r="K7" s="13" t="n">
        <v>20</v>
      </c>
      <c r="L7" s="23">
        <f>IF(H7&lt;=0,"★ 추천",IF(H7&lt;=20,"검토","-"))</f>
        <v/>
      </c>
    </row>
    <row r="8" ht="20" customHeight="1">
      <c r="A8" s="21" t="inlineStr">
        <is>
          <t>한화솔루션</t>
        </is>
      </c>
      <c r="B8" s="8" t="inlineStr">
        <is>
          <t>한국</t>
        </is>
      </c>
      <c r="C8" s="4" t="n">
        <v>1020</v>
      </c>
      <c r="D8" s="4" t="n">
        <v>1080</v>
      </c>
      <c r="E8" s="4" t="n">
        <v>1000</v>
      </c>
      <c r="F8" s="4" t="n">
        <v>1070</v>
      </c>
      <c r="G8" s="4" t="n">
        <v>980</v>
      </c>
      <c r="H8" s="16">
        <f>C8-C4</f>
        <v/>
      </c>
      <c r="I8" s="8" t="inlineStr">
        <is>
          <t>T/T 30일</t>
        </is>
      </c>
      <c r="J8" s="8" t="inlineStr">
        <is>
          <t>3주</t>
        </is>
      </c>
      <c r="K8" s="7" t="n">
        <v>25</v>
      </c>
      <c r="L8" s="8">
        <f>IF(H8&lt;=0,"★ 추천",IF(H8&lt;=20,"검토","-"))</f>
        <v/>
      </c>
    </row>
    <row r="9" ht="20" customHeight="1">
      <c r="A9" s="22" t="inlineStr">
        <is>
          <t>SABIC</t>
        </is>
      </c>
      <c r="B9" s="23" t="inlineStr">
        <is>
          <t>사우디</t>
        </is>
      </c>
      <c r="C9" s="10" t="n">
        <v>995</v>
      </c>
      <c r="D9" s="10" t="n">
        <v>1055</v>
      </c>
      <c r="E9" s="10" t="n">
        <v>975</v>
      </c>
      <c r="F9" s="10" t="n">
        <v>1045</v>
      </c>
      <c r="G9" s="10" t="n">
        <v>955</v>
      </c>
      <c r="H9" s="14">
        <f>C9-C4</f>
        <v/>
      </c>
      <c r="I9" s="23" t="inlineStr">
        <is>
          <t>L/C 60일</t>
        </is>
      </c>
      <c r="J9" s="23" t="inlineStr">
        <is>
          <t>5주</t>
        </is>
      </c>
      <c r="K9" s="13" t="n">
        <v>50</v>
      </c>
      <c r="L9" s="23">
        <f>IF(H9&lt;=0,"★ 추천",IF(H9&lt;=20,"검토","-"))</f>
        <v/>
      </c>
    </row>
    <row r="10" ht="20" customHeight="1">
      <c r="A10" s="21" t="inlineStr">
        <is>
          <t>Borouge</t>
        </is>
      </c>
      <c r="B10" s="8" t="inlineStr">
        <is>
          <t>UAE</t>
        </is>
      </c>
      <c r="C10" s="4" t="n">
        <v>990</v>
      </c>
      <c r="D10" s="4" t="n">
        <v>1050</v>
      </c>
      <c r="E10" s="4" t="n">
        <v>970</v>
      </c>
      <c r="F10" s="4" t="n">
        <v>1040</v>
      </c>
      <c r="G10" s="4" t="n">
        <v>950</v>
      </c>
      <c r="H10" s="16">
        <f>C10-C4</f>
        <v/>
      </c>
      <c r="I10" s="8" t="inlineStr">
        <is>
          <t>L/C 60일</t>
        </is>
      </c>
      <c r="J10" s="8" t="inlineStr">
        <is>
          <t>5주</t>
        </is>
      </c>
      <c r="K10" s="7" t="n">
        <v>50</v>
      </c>
      <c r="L10" s="8">
        <f>IF(H10&lt;=0,"★ 추천",IF(H10&lt;=20,"검토","-"))</f>
        <v/>
      </c>
    </row>
    <row r="11" ht="20" customHeight="1">
      <c r="A11" s="22" t="inlineStr">
        <is>
          <t>QAPCO</t>
        </is>
      </c>
      <c r="B11" s="23" t="inlineStr">
        <is>
          <t>카타르</t>
        </is>
      </c>
      <c r="C11" s="10" t="n">
        <v>985</v>
      </c>
      <c r="D11" s="10" t="n">
        <v>1045</v>
      </c>
      <c r="E11" s="10" t="n">
        <v>965</v>
      </c>
      <c r="F11" s="10" t="n">
        <v>1035</v>
      </c>
      <c r="G11" s="10" t="n">
        <v>945</v>
      </c>
      <c r="H11" s="14">
        <f>C11-C4</f>
        <v/>
      </c>
      <c r="I11" s="23" t="inlineStr">
        <is>
          <t>L/C 60일</t>
        </is>
      </c>
      <c r="J11" s="23" t="inlineStr">
        <is>
          <t>6주</t>
        </is>
      </c>
      <c r="K11" s="13" t="n">
        <v>50</v>
      </c>
      <c r="L11" s="23">
        <f>IF(H11&lt;=0,"★ 추천",IF(H11&lt;=20,"검토","-"))</f>
        <v/>
      </c>
    </row>
    <row r="12" ht="20" customHeight="1">
      <c r="A12" s="21" t="inlineStr">
        <is>
          <t>PTT GC</t>
        </is>
      </c>
      <c r="B12" s="8" t="inlineStr">
        <is>
          <t>태국</t>
        </is>
      </c>
      <c r="C12" s="4" t="n">
        <v>1000</v>
      </c>
      <c r="D12" s="4" t="n">
        <v>1060</v>
      </c>
      <c r="E12" s="4" t="n">
        <v>980</v>
      </c>
      <c r="F12" s="4" t="n">
        <v>1050</v>
      </c>
      <c r="G12" s="4" t="n">
        <v>960</v>
      </c>
      <c r="H12" s="16">
        <f>C12-C4</f>
        <v/>
      </c>
      <c r="I12" s="8" t="inlineStr">
        <is>
          <t>T/T 45일</t>
        </is>
      </c>
      <c r="J12" s="8" t="inlineStr">
        <is>
          <t>3주</t>
        </is>
      </c>
      <c r="K12" s="7" t="n">
        <v>30</v>
      </c>
      <c r="L12" s="8">
        <f>IF(H12&lt;=0,"★ 추천",IF(H12&lt;=20,"검토","-"))</f>
        <v/>
      </c>
    </row>
  </sheetData>
  <mergeCells count="3">
    <mergeCell ref="A2:L2"/>
    <mergeCell ref="A3:B3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4" customWidth="1" min="3" max="3"/>
    <col width="16" customWidth="1" min="4" max="4"/>
    <col width="14" customWidth="1" min="5" max="5"/>
    <col width="16" customWidth="1" min="6" max="6"/>
    <col width="10" customWidth="1" min="7" max="7"/>
    <col width="5" customWidth="1" min="8" max="8"/>
  </cols>
  <sheetData>
    <row r="1" ht="36" customHeight="1">
      <c r="A1" s="24" t="inlineStr">
        <is>
          <t>PP / PE 레진 단가 시뮬레이터  (유가 · 환율 · 나프타 변동 영향)</t>
        </is>
      </c>
    </row>
    <row r="3">
      <c r="A3" s="25" t="inlineStr">
        <is>
          <t>▶ 입력 가정 (파란색 셀 수정)</t>
        </is>
      </c>
      <c r="E3" s="26" t="inlineStr">
        <is>
          <t>전월 기준가 (비교용)</t>
        </is>
      </c>
    </row>
    <row r="4">
      <c r="E4" s="27" t="inlineStr">
        <is>
          <t>PP Homo</t>
        </is>
      </c>
      <c r="F4" s="27" t="inlineStr">
        <is>
          <t>HDPE</t>
        </is>
      </c>
    </row>
    <row r="5" ht="22" customHeight="1">
      <c r="A5" s="28" t="inlineStr">
        <is>
          <t>Brent 유가 (USD/bbl)</t>
        </is>
      </c>
      <c r="B5" s="6" t="n">
        <v>74</v>
      </c>
      <c r="C5" s="29" t="inlineStr">
        <is>
          <t>현재 시장가</t>
        </is>
      </c>
      <c r="E5" s="30" t="n">
        <v>980</v>
      </c>
      <c r="F5" s="30" t="n">
        <v>960</v>
      </c>
    </row>
    <row r="6" ht="22" customHeight="1">
      <c r="A6" s="28" t="inlineStr">
        <is>
          <t>나프타 CFR Japan (USD/MT)</t>
        </is>
      </c>
      <c r="B6" s="4" t="n">
        <v>630</v>
      </c>
      <c r="C6" s="29" t="inlineStr">
        <is>
          <t>Platts 기준</t>
        </is>
      </c>
    </row>
    <row r="7" ht="22" customHeight="1">
      <c r="A7" s="28" t="inlineStr">
        <is>
          <t>USD/KRW 환율 (원)</t>
        </is>
      </c>
      <c r="B7" s="4" t="n">
        <v>1380</v>
      </c>
      <c r="C7" s="29" t="inlineStr">
        <is>
          <t>시장 환율</t>
        </is>
      </c>
    </row>
    <row r="8" ht="22" customHeight="1">
      <c r="A8" s="28" t="inlineStr">
        <is>
          <t>PP-나프타 배율</t>
        </is>
      </c>
      <c r="B8" s="31" t="n">
        <v>1.55</v>
      </c>
      <c r="C8" s="29" t="inlineStr">
        <is>
          <t>공급사 협의 배율</t>
        </is>
      </c>
    </row>
    <row r="9" ht="22" customHeight="1">
      <c r="A9" s="28" t="inlineStr">
        <is>
          <t>고정 마진 (USD/MT)</t>
        </is>
      </c>
      <c r="B9" s="4" t="n">
        <v>85</v>
      </c>
      <c r="C9" s="29" t="inlineStr">
        <is>
          <t>계약 고정분</t>
        </is>
      </c>
    </row>
    <row r="10" ht="22" customHeight="1">
      <c r="A10" s="28" t="inlineStr">
        <is>
          <t>물류비 (USD/MT)</t>
        </is>
      </c>
      <c r="B10" s="4" t="n">
        <v>20</v>
      </c>
      <c r="C10" s="29" t="inlineStr">
        <is>
          <t>CFR 기준</t>
        </is>
      </c>
    </row>
    <row r="12" ht="24" customHeight="1">
      <c r="A12" s="25" t="inlineStr">
        <is>
          <t>▶ 산출 결과 (자동 계산)</t>
        </is>
      </c>
    </row>
    <row r="13" ht="36" customHeight="1">
      <c r="A13" s="3" t="inlineStr">
        <is>
          <t>품목</t>
        </is>
      </c>
      <c r="B13" s="3" t="inlineStr">
        <is>
          <t>산출 공식 개요</t>
        </is>
      </c>
      <c r="C13" s="3" t="inlineStr">
        <is>
          <t>USD 단가
(USD/MT)</t>
        </is>
      </c>
      <c r="D13" s="3" t="inlineStr">
        <is>
          <t>원화 환산
(원/MT)</t>
        </is>
      </c>
      <c r="E13" s="3" t="inlineStr">
        <is>
          <t>전월 USD
차이</t>
        </is>
      </c>
      <c r="F13" s="3" t="inlineStr">
        <is>
          <t>전월 원화
차이</t>
        </is>
      </c>
      <c r="G13" s="3" t="inlineStr">
        <is>
          <t>등락률</t>
        </is>
      </c>
    </row>
    <row r="14" ht="22" customHeight="1">
      <c r="A14" s="32" t="inlineStr">
        <is>
          <t>PP Homo (나프타 연동)</t>
        </is>
      </c>
      <c r="B14" s="33" t="inlineStr">
        <is>
          <t>B6*B8+B9+B10</t>
        </is>
      </c>
      <c r="C14" s="34">
        <f>B6*B8+B9+B10</f>
        <v/>
      </c>
      <c r="D14" s="7">
        <f>C14*B7</f>
        <v/>
      </c>
      <c r="E14" s="16">
        <f>C14-E5</f>
        <v/>
      </c>
      <c r="F14" s="16">
        <f>D14-E5*B7</f>
        <v/>
      </c>
      <c r="G14" s="35">
        <f>IF(E5=0,"-",(C14-E5)/E5)</f>
        <v/>
      </c>
    </row>
    <row r="15" ht="22" customHeight="1">
      <c r="A15" s="36" t="inlineStr">
        <is>
          <t>PP Copo (+$60 프리미엄)</t>
        </is>
      </c>
      <c r="B15" s="37" t="inlineStr">
        <is>
          <t>B6*B8+B9+B10+60</t>
        </is>
      </c>
      <c r="C15" s="38">
        <f>B6*B8+B9+B10+60</f>
        <v/>
      </c>
      <c r="D15" s="13">
        <f>C15*B7</f>
        <v/>
      </c>
      <c r="E15" s="23" t="inlineStr">
        <is>
          <t>-</t>
        </is>
      </c>
      <c r="F15" s="23" t="inlineStr">
        <is>
          <t>-</t>
        </is>
      </c>
      <c r="G15" s="23" t="inlineStr">
        <is>
          <t>-</t>
        </is>
      </c>
    </row>
    <row r="16" ht="22" customHeight="1">
      <c r="A16" s="32" t="inlineStr">
        <is>
          <t>HDPE (에틸렌 연동 근사)</t>
        </is>
      </c>
      <c r="B16" s="33" t="inlineStr">
        <is>
          <t>(B6+220)*1.28+B9+B10</t>
        </is>
      </c>
      <c r="C16" s="34">
        <f>(B6+220)*1.28+B9+B10</f>
        <v/>
      </c>
      <c r="D16" s="7">
        <f>C16*B7</f>
        <v/>
      </c>
      <c r="E16" s="16">
        <f>C16-F5</f>
        <v/>
      </c>
      <c r="F16" s="16">
        <f>D16-F5*B7</f>
        <v/>
      </c>
      <c r="G16" s="35">
        <f>IF(F5=0,"-",(C16-F5)/F5)</f>
        <v/>
      </c>
    </row>
    <row r="17" ht="22" customHeight="1">
      <c r="A17" s="36" t="inlineStr">
        <is>
          <t>LDPE (+$70 프리미엄)</t>
        </is>
      </c>
      <c r="B17" s="37" t="inlineStr">
        <is>
          <t>(B6+220)*1.28+B9+B10+70</t>
        </is>
      </c>
      <c r="C17" s="38">
        <f>(B6+220)*1.28+B9+B10+70</f>
        <v/>
      </c>
      <c r="D17" s="13">
        <f>C17*B7</f>
        <v/>
      </c>
      <c r="E17" s="23" t="inlineStr">
        <is>
          <t>-</t>
        </is>
      </c>
      <c r="F17" s="23" t="inlineStr">
        <is>
          <t>-</t>
        </is>
      </c>
      <c r="G17" s="23" t="inlineStr">
        <is>
          <t>-</t>
        </is>
      </c>
    </row>
    <row r="18" ht="22" customHeight="1">
      <c r="A18" s="32" t="inlineStr">
        <is>
          <t>LLDPE C4</t>
        </is>
      </c>
      <c r="B18" s="33" t="inlineStr">
        <is>
          <t>(B6+220)*1.25+B9+B10</t>
        </is>
      </c>
      <c r="C18" s="34">
        <f>(B6+220)*1.25+B9+B10</f>
        <v/>
      </c>
      <c r="D18" s="7">
        <f>C18*B7</f>
        <v/>
      </c>
      <c r="E18" s="8" t="inlineStr">
        <is>
          <t>-</t>
        </is>
      </c>
      <c r="F18" s="8" t="inlineStr">
        <is>
          <t>-</t>
        </is>
      </c>
      <c r="G18" s="8" t="inlineStr">
        <is>
          <t>-</t>
        </is>
      </c>
    </row>
  </sheetData>
  <mergeCells count="3">
    <mergeCell ref="A12:H12"/>
    <mergeCell ref="A3:C3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25" customWidth="1" min="4" max="4"/>
    <col width="18" customWidth="1" min="5" max="5"/>
    <col width="3" customWidth="1" min="6" max="6"/>
    <col width="18" customWidth="1" min="7" max="7"/>
    <col width="18" customWidth="1" min="8" max="8"/>
  </cols>
  <sheetData>
    <row r="1" ht="36" customHeight="1">
      <c r="A1" s="18" t="inlineStr">
        <is>
          <t>PP / PE 레진 구매 KPI 월간 요약</t>
        </is>
      </c>
    </row>
    <row r="3">
      <c r="A3" s="20" t="inlineStr">
        <is>
          <t>PP Homo 구매 단가</t>
        </is>
      </c>
      <c r="D3" s="39" t="inlineStr">
        <is>
          <t>전월 대비 PP 변동</t>
        </is>
      </c>
      <c r="G3" s="40" t="inlineStr">
        <is>
          <t>PP-나프타 스프레드</t>
        </is>
      </c>
    </row>
    <row r="4">
      <c r="A4" s="41">
        <f>월간단가입력!C21</f>
        <v/>
      </c>
      <c r="D4" s="42">
        <f>월간단가입력!M21</f>
        <v/>
      </c>
      <c r="G4" s="43">
        <f>월간단가입력!K21</f>
        <v/>
      </c>
    </row>
    <row r="5">
      <c r="A5" s="44" t="inlineStr">
        <is>
          <t>USD/MT</t>
        </is>
      </c>
      <c r="D5" s="44" t="inlineStr">
        <is>
          <t>USD/MT</t>
        </is>
      </c>
      <c r="G5" s="44" t="inlineStr">
        <is>
          <t>USD/MT</t>
        </is>
      </c>
    </row>
    <row r="7">
      <c r="A7" s="45" t="inlineStr">
        <is>
          <t>PP Homo 원화 환산 단가</t>
        </is>
      </c>
      <c r="D7" s="20" t="inlineStr">
        <is>
          <t>USD/KRW 환율</t>
        </is>
      </c>
      <c r="G7" s="46" t="inlineStr">
        <is>
          <t>Brent 유가</t>
        </is>
      </c>
    </row>
    <row r="8">
      <c r="A8" s="47">
        <f>월간단가입력!L21</f>
        <v/>
      </c>
      <c r="D8" s="41">
        <f>월간단가입력!J21</f>
        <v/>
      </c>
      <c r="G8" s="48">
        <f>월간단가입력!I21</f>
        <v/>
      </c>
    </row>
    <row r="9">
      <c r="A9" s="44" t="inlineStr">
        <is>
          <t>원/MT</t>
        </is>
      </c>
      <c r="D9" s="44" t="inlineStr">
        <is>
          <t>원</t>
        </is>
      </c>
      <c r="G9" s="44" t="inlineStr">
        <is>
          <t>USD/bbl</t>
        </is>
      </c>
    </row>
    <row r="11">
      <c r="A11" s="25" t="inlineStr">
        <is>
          <t>▶ PP-나프타 스프레드 신호등</t>
        </is>
      </c>
    </row>
    <row r="12">
      <c r="A12" s="49" t="inlineStr">
        <is>
          <t>스프레드 구간</t>
        </is>
      </c>
      <c r="B12" s="49" t="inlineStr">
        <is>
          <t>신호</t>
        </is>
      </c>
      <c r="C12" s="49" t="inlineStr">
        <is>
          <t>해석</t>
        </is>
      </c>
      <c r="D12" s="49" t="inlineStr">
        <is>
          <t>구매 액션</t>
        </is>
      </c>
    </row>
    <row r="13" ht="22" customHeight="1">
      <c r="A13" s="50" t="inlineStr">
        <is>
          <t>$400 이상</t>
        </is>
      </c>
      <c r="B13" s="50" t="inlineStr">
        <is>
          <t>GREEN</t>
        </is>
      </c>
      <c r="C13" s="50" t="inlineStr">
        <is>
          <t>공급 여유 / 생산자 감산 없음</t>
        </is>
      </c>
      <c r="D13" s="50" t="inlineStr">
        <is>
          <t>스팟 구매 검토, 재고 절감</t>
        </is>
      </c>
    </row>
    <row r="14" ht="22" customHeight="1">
      <c r="A14" s="51" t="inlineStr">
        <is>
          <t>$300~$400</t>
        </is>
      </c>
      <c r="B14" s="51" t="inlineStr">
        <is>
          <t>YELLOW</t>
        </is>
      </c>
      <c r="C14" s="51" t="inlineStr">
        <is>
          <t>정상 마진 범위</t>
        </is>
      </c>
      <c r="D14" s="51" t="inlineStr">
        <is>
          <t>계획 구매 유지</t>
        </is>
      </c>
    </row>
    <row r="15" ht="22" customHeight="1">
      <c r="A15" s="52" t="inlineStr">
        <is>
          <t>$200~$300</t>
        </is>
      </c>
      <c r="B15" s="52" t="inlineStr">
        <is>
          <t>ORANGE</t>
        </is>
      </c>
      <c r="C15" s="52" t="inlineStr">
        <is>
          <t>마진 압박 / 감산 가능성</t>
        </is>
      </c>
      <c r="D15" s="52" t="inlineStr">
        <is>
          <t>장기 계약 비중 확대</t>
        </is>
      </c>
    </row>
    <row r="16" ht="22" customHeight="1">
      <c r="A16" s="53" t="inlineStr">
        <is>
          <t>$200 미만</t>
        </is>
      </c>
      <c r="B16" s="53" t="inlineStr">
        <is>
          <t>RED</t>
        </is>
      </c>
      <c r="C16" s="53" t="inlineStr">
        <is>
          <t>감산 임박 / 공급 타이트 예상</t>
        </is>
      </c>
      <c r="D16" s="53" t="inlineStr">
        <is>
          <t>긴급 재고 확보 필요</t>
        </is>
      </c>
    </row>
  </sheetData>
  <mergeCells count="19">
    <mergeCell ref="G8:H8"/>
    <mergeCell ref="A7:B7"/>
    <mergeCell ref="G7:H7"/>
    <mergeCell ref="A3:B3"/>
    <mergeCell ref="G3:H3"/>
    <mergeCell ref="D7:E7"/>
    <mergeCell ref="A5:B5"/>
    <mergeCell ref="G5:H5"/>
    <mergeCell ref="D4:E4"/>
    <mergeCell ref="D9:E9"/>
    <mergeCell ref="A8:B8"/>
    <mergeCell ref="D3:E3"/>
    <mergeCell ref="A4:B4"/>
    <mergeCell ref="G4:H4"/>
    <mergeCell ref="D8:E8"/>
    <mergeCell ref="D5:E5"/>
    <mergeCell ref="A1:I1"/>
    <mergeCell ref="A9:B9"/>
    <mergeCell ref="G9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2026-06-11T07:10:07Z</dcterms:created>
  <dcterms:modified xsi:type="dcterms:W3CDTF">2026-06-11T07:10:07Z</dcterms:modified>
</cp:coreProperties>
</file>